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ztcheney_uark_edu/Documents/Spring 2025/"/>
    </mc:Choice>
  </mc:AlternateContent>
  <xr:revisionPtr revIDLastSave="30" documentId="8_{D54815C5-0872-46B1-8ACF-3AB1F8CED096}" xr6:coauthVersionLast="47" xr6:coauthVersionMax="47" xr10:uidLastSave="{225F2D67-2823-4770-B699-A380C3ACD49E}"/>
  <bookViews>
    <workbookView xWindow="-110" yWindow="-110" windowWidth="25820" windowHeight="15500" xr2:uid="{00000000-000D-0000-FFFF-FFFF00000000}"/>
  </bookViews>
  <sheets>
    <sheet name="Current Analysis" sheetId="2" r:id="rId1"/>
    <sheet name="Projected Analysis Month 1" sheetId="4" r:id="rId2"/>
    <sheet name="Projected Analysis Month 3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5" l="1"/>
  <c r="I10" i="5" s="1"/>
  <c r="G9" i="5"/>
  <c r="I9" i="5" s="1"/>
  <c r="G8" i="5"/>
  <c r="I8" i="5" s="1"/>
  <c r="G7" i="5"/>
  <c r="I7" i="5" s="1"/>
  <c r="L6" i="5"/>
  <c r="N6" i="5" s="1"/>
  <c r="G6" i="5"/>
  <c r="I6" i="5" s="1"/>
  <c r="L5" i="5"/>
  <c r="N5" i="5" s="1"/>
  <c r="G5" i="5"/>
  <c r="I5" i="5" s="1"/>
  <c r="L4" i="5"/>
  <c r="N4" i="5" s="1"/>
  <c r="G4" i="5"/>
  <c r="I4" i="5" s="1"/>
  <c r="Q3" i="5"/>
  <c r="L3" i="5"/>
  <c r="N3" i="5" s="1"/>
  <c r="G3" i="5"/>
  <c r="I3" i="5" s="1"/>
  <c r="Q2" i="5"/>
  <c r="Q4" i="5" s="1"/>
  <c r="L2" i="5"/>
  <c r="N2" i="5" s="1"/>
  <c r="G2" i="5"/>
  <c r="I2" i="5" s="1"/>
  <c r="G10" i="4"/>
  <c r="I10" i="4" s="1"/>
  <c r="G9" i="4"/>
  <c r="I9" i="4" s="1"/>
  <c r="G8" i="4"/>
  <c r="I8" i="4" s="1"/>
  <c r="G7" i="4"/>
  <c r="I7" i="4" s="1"/>
  <c r="L6" i="4"/>
  <c r="N6" i="4" s="1"/>
  <c r="G6" i="4"/>
  <c r="I6" i="4" s="1"/>
  <c r="L5" i="4"/>
  <c r="N5" i="4" s="1"/>
  <c r="G5" i="4"/>
  <c r="I5" i="4" s="1"/>
  <c r="L4" i="4"/>
  <c r="N4" i="4" s="1"/>
  <c r="G4" i="4"/>
  <c r="I4" i="4" s="1"/>
  <c r="Q3" i="4"/>
  <c r="L3" i="4"/>
  <c r="N3" i="4" s="1"/>
  <c r="G3" i="4"/>
  <c r="I3" i="4" s="1"/>
  <c r="Q2" i="4"/>
  <c r="Q4" i="4" s="1"/>
  <c r="L2" i="4"/>
  <c r="N2" i="4" s="1"/>
  <c r="G2" i="4"/>
  <c r="I2" i="4" s="1"/>
  <c r="Q3" i="2"/>
  <c r="Q2" i="2"/>
  <c r="L6" i="2"/>
  <c r="N6" i="2" s="1"/>
  <c r="L5" i="2"/>
  <c r="N5" i="2" s="1"/>
  <c r="L4" i="2"/>
  <c r="L3" i="2"/>
  <c r="N3" i="2" s="1"/>
  <c r="L2" i="2"/>
  <c r="N2" i="2" s="1"/>
  <c r="N4" i="2"/>
  <c r="G10" i="2"/>
  <c r="I10" i="2" s="1"/>
  <c r="G9" i="2"/>
  <c r="I9" i="2" s="1"/>
  <c r="G8" i="2"/>
  <c r="I8" i="2" s="1"/>
  <c r="G7" i="2"/>
  <c r="I7" i="2" s="1"/>
  <c r="G6" i="2"/>
  <c r="I6" i="2" s="1"/>
  <c r="G5" i="2"/>
  <c r="I5" i="2" s="1"/>
  <c r="G4" i="2"/>
  <c r="I4" i="2" s="1"/>
  <c r="G3" i="2"/>
  <c r="I3" i="2" s="1"/>
  <c r="G2" i="2"/>
  <c r="I2" i="2" s="1"/>
  <c r="Q4" i="2" l="1"/>
</calcChain>
</file>

<file path=xl/sharedStrings.xml><?xml version="1.0" encoding="utf-8"?>
<sst xmlns="http://schemas.openxmlformats.org/spreadsheetml/2006/main" count="249" uniqueCount="61">
  <si>
    <t>Category</t>
  </si>
  <si>
    <t>Subcategory</t>
  </si>
  <si>
    <t>Metric</t>
  </si>
  <si>
    <t>NAA Score (0-10)</t>
  </si>
  <si>
    <t>Sub Category</t>
  </si>
  <si>
    <t>Category Score</t>
  </si>
  <si>
    <t>Benchmark</t>
  </si>
  <si>
    <t>Rating %</t>
  </si>
  <si>
    <t>Main Category</t>
  </si>
  <si>
    <t>Whole Report</t>
  </si>
  <si>
    <t>Value</t>
  </si>
  <si>
    <t>Business Profiles</t>
  </si>
  <si>
    <t>Google Business Profile</t>
  </si>
  <si>
    <t>Profile Exists/Claimed</t>
  </si>
  <si>
    <t>Total Score</t>
  </si>
  <si>
    <t>Optimized (Info Correct, Accurate, Content)</t>
  </si>
  <si>
    <t>Yelp Profile</t>
  </si>
  <si>
    <t>Social Media Presence</t>
  </si>
  <si>
    <t>Total Benchmark</t>
  </si>
  <si>
    <t>Reviews Actively Engaged &amp; Managed</t>
  </si>
  <si>
    <t>Facebook</t>
  </si>
  <si>
    <t>Website Performance</t>
  </si>
  <si>
    <t>Up to Par With Competitors</t>
  </si>
  <si>
    <t>Instagram</t>
  </si>
  <si>
    <t>Advertising Efforts</t>
  </si>
  <si>
    <t>Technical Aspects</t>
  </si>
  <si>
    <t>Brand Consistency</t>
  </si>
  <si>
    <t>Optimized</t>
  </si>
  <si>
    <t>Content &amp; SEO</t>
  </si>
  <si>
    <t>User Experience</t>
  </si>
  <si>
    <t>Google Ads</t>
  </si>
  <si>
    <t xml:space="preserve">Social Media Presence </t>
  </si>
  <si>
    <t>Social Media Advertising</t>
  </si>
  <si>
    <t>Regular Posting</t>
  </si>
  <si>
    <t>Consistent Media/Message</t>
  </si>
  <si>
    <t>Engagement Activity</t>
  </si>
  <si>
    <t>Instragram</t>
  </si>
  <si>
    <t>Mobile Repsonsiveness</t>
  </si>
  <si>
    <t xml:space="preserve">Page Load Speed </t>
  </si>
  <si>
    <t>SSL Certificate Installed</t>
  </si>
  <si>
    <t xml:space="preserve">Clear Navigation </t>
  </si>
  <si>
    <t>Relevant, up-to-date Content</t>
  </si>
  <si>
    <t>Optimized for Local SEO</t>
  </si>
  <si>
    <t>Blog or Resource Section</t>
  </si>
  <si>
    <t>Clear CTA's</t>
  </si>
  <si>
    <t>Easy-to-find Contract Info</t>
  </si>
  <si>
    <t>Online Booking/Quote Request Funcionality</t>
  </si>
  <si>
    <t>Testimonials / Reviews Displayed</t>
  </si>
  <si>
    <t>Active Campaigns Running</t>
  </si>
  <si>
    <t>Ad Copy Quality</t>
  </si>
  <si>
    <t xml:space="preserve">Use of Ad Extensions </t>
  </si>
  <si>
    <t>Landing Page Relevance to Ads</t>
  </si>
  <si>
    <t>Facebook/Instagram Ads Active</t>
  </si>
  <si>
    <t>Audience Targeting Utilized</t>
  </si>
  <si>
    <t>Ad Creative Quality</t>
  </si>
  <si>
    <t>Overall</t>
  </si>
  <si>
    <t>Consistent Logo Usage Across Platforms</t>
  </si>
  <si>
    <t>Uniform Color Scheme &amp; Typography</t>
  </si>
  <si>
    <t>Cohesive Brand Voice Acros All Content</t>
  </si>
  <si>
    <t>Metric Score (0-10)</t>
  </si>
  <si>
    <t>Total Rating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</si>
</sst>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9" fontId="0" fillId="0" borderId="0" xfId="1" applyFont="1"/>
    <xf numFmtId="164" fontId="0" fillId="0" borderId="0" xfId="1" applyNumberFormat="1" applyFont="1"/>
    <xf numFmtId="10" fontId="0" fillId="0" borderId="0" xfId="1" applyNumberFormat="1" applyFont="1"/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8" borderId="0" xfId="0" applyFill="1"/>
    <xf numFmtId="0" fontId="0" fillId="6" borderId="0" xfId="0" applyFill="1"/>
    <xf numFmtId="0" fontId="0" fillId="7" borderId="0" xfId="0" applyFill="1"/>
    <xf numFmtId="0" fontId="0" fillId="9" borderId="0" xfId="0" applyFill="1"/>
    <xf numFmtId="0" fontId="0" fillId="0" borderId="4" xfId="0" applyBorder="1"/>
    <xf numFmtId="0" fontId="0" fillId="11" borderId="5" xfId="0" applyFill="1" applyBorder="1"/>
    <xf numFmtId="0" fontId="2" fillId="11" borderId="5" xfId="0" applyFont="1" applyFill="1" applyBorder="1"/>
    <xf numFmtId="0" fontId="3" fillId="11" borderId="5" xfId="0" applyFont="1" applyFill="1" applyBorder="1"/>
    <xf numFmtId="0" fontId="0" fillId="12" borderId="6" xfId="0" applyFill="1" applyBorder="1"/>
    <xf numFmtId="0" fontId="0" fillId="13" borderId="7" xfId="0" applyFill="1" applyBorder="1"/>
    <xf numFmtId="0" fontId="0" fillId="14" borderId="8" xfId="0" applyFill="1" applyBorder="1"/>
    <xf numFmtId="0" fontId="3" fillId="12" borderId="6" xfId="0" applyFont="1" applyFill="1" applyBorder="1"/>
    <xf numFmtId="0" fontId="3" fillId="13" borderId="7" xfId="0" applyFont="1" applyFill="1" applyBorder="1"/>
    <xf numFmtId="0" fontId="3" fillId="14" borderId="8" xfId="0" applyFont="1" applyFill="1" applyBorder="1"/>
    <xf numFmtId="0" fontId="4" fillId="15" borderId="8" xfId="0" applyFont="1" applyFill="1" applyBorder="1"/>
    <xf numFmtId="0" fontId="4" fillId="16" borderId="5" xfId="0" applyFont="1" applyFill="1" applyBorder="1"/>
    <xf numFmtId="0" fontId="4" fillId="17" borderId="6" xfId="0" applyFont="1" applyFill="1" applyBorder="1"/>
    <xf numFmtId="0" fontId="4" fillId="18" borderId="7" xfId="0" applyFont="1" applyFill="1" applyBorder="1"/>
    <xf numFmtId="0" fontId="0" fillId="10" borderId="0" xfId="0" applyFill="1"/>
    <xf numFmtId="164" fontId="0" fillId="14" borderId="8" xfId="1" applyNumberFormat="1" applyFont="1" applyFill="1" applyBorder="1"/>
    <xf numFmtId="164" fontId="0" fillId="12" borderId="6" xfId="1" applyNumberFormat="1" applyFont="1" applyFill="1" applyBorder="1"/>
    <xf numFmtId="164" fontId="0" fillId="13" borderId="7" xfId="1" applyNumberFormat="1" applyFont="1" applyFill="1" applyBorder="1"/>
    <xf numFmtId="164" fontId="0" fillId="11" borderId="5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51A7FA-6862-47D3-A849-1F7A1A01DF34}" name="Table1816141524" displayName="Table1816141524" ref="P1:Q4" totalsRowShown="0">
  <autoFilter ref="P1:Q4" xr:uid="{8851A7FA-6862-47D3-A849-1F7A1A01DF34}"/>
  <tableColumns count="2">
    <tableColumn id="1" xr3:uid="{1026402B-12E7-492F-B822-C03E548817F6}" name="Whole Report"/>
    <tableColumn id="2" xr3:uid="{3536CDA6-E857-4DA4-A915-D93E5A780911}" name="Valu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E74A5C-BE14-4189-B503-8EC250227C20}" name="Table18161415242" displayName="Table18161415242" ref="P1:Q4" totalsRowShown="0">
  <autoFilter ref="P1:Q4" xr:uid="{8851A7FA-6862-47D3-A849-1F7A1A01DF34}"/>
  <tableColumns count="2">
    <tableColumn id="1" xr3:uid="{E97ABF1C-8D61-46E6-8DEC-514B08E07B07}" name="Whole Report"/>
    <tableColumn id="2" xr3:uid="{70692C44-1303-47F2-B572-A4AC87783DB2}" name="Valu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1369B-4B2E-40B9-A24D-086B92DF013D}" name="Table181614152423" displayName="Table181614152423" ref="P1:Q4" totalsRowShown="0">
  <autoFilter ref="P1:Q4" xr:uid="{8851A7FA-6862-47D3-A849-1F7A1A01DF34}"/>
  <tableColumns count="2">
    <tableColumn id="1" xr3:uid="{69306FB9-EABE-4008-A90F-B7109F49EDC9}" name="Whole Report"/>
    <tableColumn id="2" xr3:uid="{67E20037-E34B-4315-93C6-D113D33BC020}" name="Valu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4227-182C-4E16-95EC-1886C0A173B9}">
  <dimension ref="A1:Q38"/>
  <sheetViews>
    <sheetView tabSelected="1" topLeftCell="A2" workbookViewId="0">
      <selection activeCell="D36" sqref="D36"/>
    </sheetView>
  </sheetViews>
  <sheetFormatPr defaultRowHeight="14.5" x14ac:dyDescent="0.35"/>
  <cols>
    <col min="1" max="1" width="21.26953125" customWidth="1"/>
    <col min="2" max="2" width="29.26953125" customWidth="1"/>
    <col min="3" max="3" width="39.81640625" customWidth="1"/>
    <col min="4" max="4" width="16.1796875" customWidth="1"/>
    <col min="6" max="6" width="21.453125" bestFit="1" customWidth="1"/>
    <col min="7" max="7" width="13.1796875" bestFit="1" customWidth="1"/>
    <col min="8" max="8" width="11" bestFit="1" customWidth="1"/>
    <col min="9" max="9" width="8.54296875" bestFit="1" customWidth="1"/>
    <col min="11" max="11" width="21.54296875" customWidth="1"/>
    <col min="12" max="12" width="14" bestFit="1" customWidth="1"/>
    <col min="13" max="13" width="11" bestFit="1" customWidth="1"/>
    <col min="14" max="14" width="8.54296875" bestFit="1" customWidth="1"/>
    <col min="15" max="15" width="10.54296875" customWidth="1"/>
    <col min="16" max="16" width="16" bestFit="1" customWidth="1"/>
    <col min="17" max="17" width="8.26953125" bestFit="1" customWidth="1"/>
  </cols>
  <sheetData>
    <row r="1" spans="1:17" x14ac:dyDescent="0.35">
      <c r="A1" s="4" t="s">
        <v>0</v>
      </c>
      <c r="B1" s="5" t="s">
        <v>1</v>
      </c>
      <c r="C1" s="5" t="s">
        <v>2</v>
      </c>
      <c r="D1" s="6" t="s">
        <v>59</v>
      </c>
      <c r="F1" s="29" t="s">
        <v>4</v>
      </c>
      <c r="G1" s="29" t="s">
        <v>5</v>
      </c>
      <c r="H1" s="29" t="s">
        <v>6</v>
      </c>
      <c r="I1" s="29" t="s">
        <v>7</v>
      </c>
      <c r="K1" s="29" t="s">
        <v>8</v>
      </c>
      <c r="L1" s="29" t="s">
        <v>5</v>
      </c>
      <c r="M1" s="29" t="s">
        <v>6</v>
      </c>
      <c r="N1" s="29" t="s">
        <v>7</v>
      </c>
      <c r="P1" t="s">
        <v>9</v>
      </c>
      <c r="Q1" t="s">
        <v>10</v>
      </c>
    </row>
    <row r="2" spans="1:17" ht="16" x14ac:dyDescent="0.4">
      <c r="A2" s="18" t="s">
        <v>11</v>
      </c>
      <c r="B2" s="7" t="s">
        <v>12</v>
      </c>
      <c r="C2" s="7" t="s">
        <v>13</v>
      </c>
      <c r="D2" s="7">
        <v>10</v>
      </c>
      <c r="F2" s="25" t="s">
        <v>12</v>
      </c>
      <c r="G2" s="21">
        <f>SUM(D2:D5)</f>
        <v>30</v>
      </c>
      <c r="H2" s="21">
        <v>40</v>
      </c>
      <c r="I2" s="30">
        <f>G2/H2</f>
        <v>0.75</v>
      </c>
      <c r="K2" s="26" t="s">
        <v>11</v>
      </c>
      <c r="L2" s="16">
        <f>SUM(D2:D9)</f>
        <v>60</v>
      </c>
      <c r="M2" s="16">
        <v>80</v>
      </c>
      <c r="N2" s="33">
        <f>L2/M2</f>
        <v>0.75</v>
      </c>
      <c r="P2" t="s">
        <v>14</v>
      </c>
      <c r="Q2">
        <f>SUM(D2:D38)</f>
        <v>287</v>
      </c>
    </row>
    <row r="3" spans="1:17" x14ac:dyDescent="0.35">
      <c r="A3" s="16"/>
      <c r="C3" s="7" t="s">
        <v>15</v>
      </c>
      <c r="D3" s="7">
        <v>10</v>
      </c>
      <c r="F3" s="27" t="s">
        <v>16</v>
      </c>
      <c r="G3" s="19">
        <f>SUM(D6:D9)</f>
        <v>30</v>
      </c>
      <c r="H3" s="19">
        <v>40</v>
      </c>
      <c r="I3" s="31">
        <f t="shared" ref="I3:I10" si="0">G3/H3</f>
        <v>0.75</v>
      </c>
      <c r="K3" s="27" t="s">
        <v>17</v>
      </c>
      <c r="L3" s="19">
        <f>SUM(D10:D17)</f>
        <v>70</v>
      </c>
      <c r="M3" s="19">
        <v>80</v>
      </c>
      <c r="N3" s="31">
        <f t="shared" ref="N3:N6" si="1">L3/M3</f>
        <v>0.875</v>
      </c>
      <c r="P3" t="s">
        <v>18</v>
      </c>
      <c r="Q3">
        <f>SUM(M2:M6)</f>
        <v>370</v>
      </c>
    </row>
    <row r="4" spans="1:17" x14ac:dyDescent="0.35">
      <c r="A4" s="16"/>
      <c r="C4" s="7" t="s">
        <v>19</v>
      </c>
      <c r="D4" s="7">
        <v>5</v>
      </c>
      <c r="F4" s="28" t="s">
        <v>20</v>
      </c>
      <c r="G4" s="20">
        <f>SUM(D10:D13)</f>
        <v>35</v>
      </c>
      <c r="H4" s="20">
        <v>40</v>
      </c>
      <c r="I4" s="32">
        <f t="shared" si="0"/>
        <v>0.875</v>
      </c>
      <c r="K4" s="28" t="s">
        <v>21</v>
      </c>
      <c r="L4" s="20">
        <f>SUM(D18:D28)</f>
        <v>77</v>
      </c>
      <c r="M4" s="20">
        <v>110</v>
      </c>
      <c r="N4" s="32">
        <f t="shared" si="1"/>
        <v>0.7</v>
      </c>
      <c r="P4" t="s">
        <v>60</v>
      </c>
      <c r="Q4" s="3">
        <f>Q2/Q3</f>
        <v>0.77567567567567564</v>
      </c>
    </row>
    <row r="5" spans="1:17" x14ac:dyDescent="0.35">
      <c r="A5" s="16"/>
      <c r="C5" s="7" t="s">
        <v>22</v>
      </c>
      <c r="D5" s="7">
        <v>5</v>
      </c>
      <c r="F5" s="26" t="s">
        <v>23</v>
      </c>
      <c r="G5" s="16">
        <f>SUM(D14:D17)</f>
        <v>35</v>
      </c>
      <c r="H5" s="16">
        <v>40</v>
      </c>
      <c r="I5" s="33">
        <f t="shared" si="0"/>
        <v>0.875</v>
      </c>
      <c r="K5" s="25" t="s">
        <v>24</v>
      </c>
      <c r="L5" s="21">
        <f>SUM(D29:D35)</f>
        <v>50</v>
      </c>
      <c r="M5" s="21">
        <v>70</v>
      </c>
      <c r="N5" s="30">
        <f t="shared" si="1"/>
        <v>0.7142857142857143</v>
      </c>
    </row>
    <row r="6" spans="1:17" x14ac:dyDescent="0.35">
      <c r="A6" s="16"/>
      <c r="B6" s="8" t="s">
        <v>16</v>
      </c>
      <c r="C6" s="8" t="s">
        <v>13</v>
      </c>
      <c r="D6" s="8">
        <v>10</v>
      </c>
      <c r="F6" s="25" t="s">
        <v>25</v>
      </c>
      <c r="G6" s="21">
        <f>SUM(D18:D21)</f>
        <v>40</v>
      </c>
      <c r="H6" s="21">
        <v>40</v>
      </c>
      <c r="I6" s="30">
        <f t="shared" si="0"/>
        <v>1</v>
      </c>
      <c r="K6" s="26" t="s">
        <v>26</v>
      </c>
      <c r="L6" s="16">
        <f>SUM(D36:D38)</f>
        <v>30</v>
      </c>
      <c r="M6" s="16">
        <v>30</v>
      </c>
      <c r="N6" s="33">
        <f t="shared" si="1"/>
        <v>1</v>
      </c>
    </row>
    <row r="7" spans="1:17" x14ac:dyDescent="0.35">
      <c r="A7" s="16"/>
      <c r="C7" s="8" t="s">
        <v>27</v>
      </c>
      <c r="D7" s="8">
        <v>10</v>
      </c>
      <c r="F7" s="27" t="s">
        <v>28</v>
      </c>
      <c r="G7" s="19">
        <f>SUM(D22:D25)</f>
        <v>17</v>
      </c>
      <c r="H7" s="19">
        <v>40</v>
      </c>
      <c r="I7" s="31">
        <f t="shared" si="0"/>
        <v>0.42499999999999999</v>
      </c>
    </row>
    <row r="8" spans="1:17" x14ac:dyDescent="0.35">
      <c r="A8" s="16"/>
      <c r="C8" s="8" t="s">
        <v>19</v>
      </c>
      <c r="D8" s="8">
        <v>5</v>
      </c>
      <c r="F8" s="28" t="s">
        <v>29</v>
      </c>
      <c r="G8" s="20">
        <f>SUM(D26:D28)</f>
        <v>20</v>
      </c>
      <c r="H8" s="20">
        <v>30</v>
      </c>
      <c r="I8" s="32">
        <f t="shared" si="0"/>
        <v>0.66666666666666663</v>
      </c>
    </row>
    <row r="9" spans="1:17" x14ac:dyDescent="0.35">
      <c r="A9" s="16"/>
      <c r="C9" s="8" t="s">
        <v>22</v>
      </c>
      <c r="D9" s="8">
        <v>5</v>
      </c>
      <c r="F9" s="26" t="s">
        <v>30</v>
      </c>
      <c r="G9" s="16">
        <f>SUM(D29:D32)</f>
        <v>30</v>
      </c>
      <c r="H9" s="16">
        <v>40</v>
      </c>
      <c r="I9" s="33">
        <f t="shared" si="0"/>
        <v>0.75</v>
      </c>
    </row>
    <row r="10" spans="1:17" ht="16" x14ac:dyDescent="0.4">
      <c r="A10" s="22" t="s">
        <v>31</v>
      </c>
      <c r="B10" s="9" t="s">
        <v>20</v>
      </c>
      <c r="C10" s="9" t="s">
        <v>13</v>
      </c>
      <c r="D10" s="9">
        <v>10</v>
      </c>
      <c r="F10" s="25" t="s">
        <v>32</v>
      </c>
      <c r="G10" s="21">
        <f>SUM(D33:D38)</f>
        <v>50</v>
      </c>
      <c r="H10" s="21">
        <v>60</v>
      </c>
      <c r="I10" s="30">
        <f t="shared" si="0"/>
        <v>0.83333333333333337</v>
      </c>
    </row>
    <row r="11" spans="1:17" x14ac:dyDescent="0.35">
      <c r="A11" s="19"/>
      <c r="C11" s="9" t="s">
        <v>33</v>
      </c>
      <c r="D11" s="9">
        <v>10</v>
      </c>
      <c r="H11" s="1"/>
      <c r="I11" s="1"/>
    </row>
    <row r="12" spans="1:17" x14ac:dyDescent="0.35">
      <c r="A12" s="19"/>
      <c r="C12" s="9" t="s">
        <v>34</v>
      </c>
      <c r="D12" s="9">
        <v>10</v>
      </c>
    </row>
    <row r="13" spans="1:17" x14ac:dyDescent="0.35">
      <c r="A13" s="19"/>
      <c r="C13" s="9" t="s">
        <v>35</v>
      </c>
      <c r="D13" s="9">
        <v>5</v>
      </c>
    </row>
    <row r="14" spans="1:17" x14ac:dyDescent="0.35">
      <c r="A14" s="19"/>
      <c r="B14" s="10" t="s">
        <v>36</v>
      </c>
      <c r="C14" s="10" t="s">
        <v>13</v>
      </c>
      <c r="D14" s="10">
        <v>10</v>
      </c>
      <c r="H14" s="1"/>
    </row>
    <row r="15" spans="1:17" x14ac:dyDescent="0.35">
      <c r="A15" s="19"/>
      <c r="C15" s="10" t="s">
        <v>33</v>
      </c>
      <c r="D15" s="10">
        <v>10</v>
      </c>
    </row>
    <row r="16" spans="1:17" x14ac:dyDescent="0.35">
      <c r="A16" s="19"/>
      <c r="C16" s="10" t="s">
        <v>34</v>
      </c>
      <c r="D16" s="10">
        <v>10</v>
      </c>
    </row>
    <row r="17" spans="1:15" x14ac:dyDescent="0.35">
      <c r="A17" s="19"/>
      <c r="C17" s="10" t="s">
        <v>35</v>
      </c>
      <c r="D17" s="10">
        <v>5</v>
      </c>
    </row>
    <row r="18" spans="1:15" ht="16" x14ac:dyDescent="0.4">
      <c r="A18" s="23" t="s">
        <v>21</v>
      </c>
      <c r="B18" s="7" t="s">
        <v>25</v>
      </c>
      <c r="C18" s="7" t="s">
        <v>37</v>
      </c>
      <c r="D18" s="7">
        <v>10</v>
      </c>
      <c r="O18" s="3"/>
    </row>
    <row r="19" spans="1:15" x14ac:dyDescent="0.35">
      <c r="A19" s="20"/>
      <c r="C19" s="7" t="s">
        <v>38</v>
      </c>
      <c r="D19" s="7">
        <v>10</v>
      </c>
      <c r="G19" s="2"/>
    </row>
    <row r="20" spans="1:15" x14ac:dyDescent="0.35">
      <c r="A20" s="20"/>
      <c r="C20" s="7" t="s">
        <v>39</v>
      </c>
      <c r="D20" s="7">
        <v>10</v>
      </c>
    </row>
    <row r="21" spans="1:15" x14ac:dyDescent="0.35">
      <c r="A21" s="20"/>
      <c r="C21" s="7" t="s">
        <v>40</v>
      </c>
      <c r="D21" s="7">
        <v>10</v>
      </c>
      <c r="H21" s="2"/>
      <c r="I21" s="2"/>
    </row>
    <row r="22" spans="1:15" x14ac:dyDescent="0.35">
      <c r="A22" s="20"/>
      <c r="B22" s="11" t="s">
        <v>28</v>
      </c>
      <c r="C22" s="11" t="s">
        <v>41</v>
      </c>
      <c r="D22" s="11">
        <v>10</v>
      </c>
    </row>
    <row r="23" spans="1:15" x14ac:dyDescent="0.35">
      <c r="A23" s="20"/>
      <c r="C23" s="11" t="s">
        <v>42</v>
      </c>
      <c r="D23" s="11">
        <v>2</v>
      </c>
      <c r="G23" s="2"/>
      <c r="L23" s="1"/>
    </row>
    <row r="24" spans="1:15" x14ac:dyDescent="0.35">
      <c r="A24" s="20"/>
      <c r="C24" s="11" t="s">
        <v>43</v>
      </c>
      <c r="D24" s="11">
        <v>0</v>
      </c>
      <c r="O24" s="3"/>
    </row>
    <row r="25" spans="1:15" x14ac:dyDescent="0.35">
      <c r="A25" s="20"/>
      <c r="C25" s="11" t="s">
        <v>44</v>
      </c>
      <c r="D25" s="11">
        <v>5</v>
      </c>
      <c r="H25" s="2"/>
      <c r="I25" s="2"/>
    </row>
    <row r="26" spans="1:15" x14ac:dyDescent="0.35">
      <c r="A26" s="20"/>
      <c r="B26" s="12" t="s">
        <v>29</v>
      </c>
      <c r="C26" s="12" t="s">
        <v>45</v>
      </c>
      <c r="D26" s="12">
        <v>10</v>
      </c>
    </row>
    <row r="27" spans="1:15" x14ac:dyDescent="0.35">
      <c r="A27" s="20"/>
      <c r="C27" s="12" t="s">
        <v>46</v>
      </c>
      <c r="D27" s="12">
        <v>10</v>
      </c>
      <c r="G27" s="1"/>
    </row>
    <row r="28" spans="1:15" x14ac:dyDescent="0.35">
      <c r="A28" s="20"/>
      <c r="C28" s="12" t="s">
        <v>47</v>
      </c>
      <c r="D28" s="12">
        <v>0</v>
      </c>
    </row>
    <row r="29" spans="1:15" ht="16" x14ac:dyDescent="0.4">
      <c r="A29" s="24" t="s">
        <v>24</v>
      </c>
      <c r="B29" s="13" t="s">
        <v>30</v>
      </c>
      <c r="C29" s="13" t="s">
        <v>48</v>
      </c>
      <c r="D29" s="13">
        <v>10</v>
      </c>
      <c r="H29" s="1"/>
      <c r="I29" s="1"/>
    </row>
    <row r="30" spans="1:15" x14ac:dyDescent="0.35">
      <c r="A30" s="21"/>
      <c r="C30" s="13" t="s">
        <v>49</v>
      </c>
      <c r="D30" s="13">
        <v>5</v>
      </c>
    </row>
    <row r="31" spans="1:15" x14ac:dyDescent="0.35">
      <c r="A31" s="21"/>
      <c r="C31" s="13" t="s">
        <v>50</v>
      </c>
      <c r="D31" s="13">
        <v>5</v>
      </c>
      <c r="G31" s="1"/>
    </row>
    <row r="32" spans="1:15" x14ac:dyDescent="0.35">
      <c r="A32" s="21"/>
      <c r="C32" s="13" t="s">
        <v>51</v>
      </c>
      <c r="D32" s="13">
        <v>10</v>
      </c>
      <c r="L32" s="1"/>
    </row>
    <row r="33" spans="1:12" x14ac:dyDescent="0.35">
      <c r="A33" s="21"/>
      <c r="B33" s="14" t="s">
        <v>32</v>
      </c>
      <c r="C33" s="14" t="s">
        <v>52</v>
      </c>
      <c r="D33" s="14">
        <v>10</v>
      </c>
      <c r="H33" s="1"/>
      <c r="I33" s="1"/>
    </row>
    <row r="34" spans="1:12" x14ac:dyDescent="0.35">
      <c r="A34" s="21"/>
      <c r="C34" s="14" t="s">
        <v>53</v>
      </c>
      <c r="D34" s="14">
        <v>5</v>
      </c>
    </row>
    <row r="35" spans="1:12" x14ac:dyDescent="0.35">
      <c r="A35" s="21"/>
      <c r="C35" s="14" t="s">
        <v>54</v>
      </c>
      <c r="D35" s="14">
        <v>5</v>
      </c>
    </row>
    <row r="36" spans="1:12" x14ac:dyDescent="0.35">
      <c r="A36" s="17" t="s">
        <v>26</v>
      </c>
      <c r="B36" s="13" t="s">
        <v>55</v>
      </c>
      <c r="C36" s="13" t="s">
        <v>56</v>
      </c>
      <c r="D36" s="13">
        <v>10</v>
      </c>
    </row>
    <row r="37" spans="1:12" x14ac:dyDescent="0.35">
      <c r="A37" s="16"/>
      <c r="C37" s="13" t="s">
        <v>57</v>
      </c>
      <c r="D37" s="13">
        <v>10</v>
      </c>
    </row>
    <row r="38" spans="1:12" x14ac:dyDescent="0.35">
      <c r="A38" s="16"/>
      <c r="B38" s="15"/>
      <c r="C38" s="13" t="s">
        <v>58</v>
      </c>
      <c r="D38" s="13">
        <v>10</v>
      </c>
      <c r="L3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D8B8-42F0-4BD0-A71F-BAD8F12AD9E7}">
  <dimension ref="A1:Q38"/>
  <sheetViews>
    <sheetView workbookViewId="0">
      <selection activeCell="D33" sqref="D33"/>
    </sheetView>
  </sheetViews>
  <sheetFormatPr defaultRowHeight="14.5" x14ac:dyDescent="0.35"/>
  <cols>
    <col min="1" max="1" width="21.26953125" customWidth="1"/>
    <col min="2" max="2" width="29.26953125" customWidth="1"/>
    <col min="3" max="3" width="39.81640625" customWidth="1"/>
    <col min="4" max="4" width="16.1796875" customWidth="1"/>
    <col min="6" max="6" width="21.453125" bestFit="1" customWidth="1"/>
    <col min="7" max="7" width="13.1796875" bestFit="1" customWidth="1"/>
    <col min="8" max="8" width="11" bestFit="1" customWidth="1"/>
    <col min="9" max="9" width="8.54296875" bestFit="1" customWidth="1"/>
    <col min="11" max="11" width="21.54296875" customWidth="1"/>
    <col min="12" max="12" width="14" bestFit="1" customWidth="1"/>
    <col min="13" max="13" width="11" bestFit="1" customWidth="1"/>
    <col min="14" max="14" width="8.54296875" bestFit="1" customWidth="1"/>
    <col min="15" max="15" width="10.54296875" customWidth="1"/>
    <col min="16" max="16" width="16" bestFit="1" customWidth="1"/>
    <col min="17" max="17" width="8.26953125" bestFit="1" customWidth="1"/>
  </cols>
  <sheetData>
    <row r="1" spans="1:17" x14ac:dyDescent="0.35">
      <c r="A1" s="4" t="s">
        <v>0</v>
      </c>
      <c r="B1" s="5" t="s">
        <v>1</v>
      </c>
      <c r="C1" s="5" t="s">
        <v>2</v>
      </c>
      <c r="D1" s="6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K1" s="29" t="s">
        <v>8</v>
      </c>
      <c r="L1" s="29" t="s">
        <v>5</v>
      </c>
      <c r="M1" s="29" t="s">
        <v>6</v>
      </c>
      <c r="N1" s="29" t="s">
        <v>7</v>
      </c>
      <c r="P1" t="s">
        <v>9</v>
      </c>
      <c r="Q1" t="s">
        <v>10</v>
      </c>
    </row>
    <row r="2" spans="1:17" ht="16" x14ac:dyDescent="0.4">
      <c r="A2" s="18" t="s">
        <v>11</v>
      </c>
      <c r="B2" s="7" t="s">
        <v>12</v>
      </c>
      <c r="C2" s="7" t="s">
        <v>13</v>
      </c>
      <c r="D2" s="7">
        <v>10</v>
      </c>
      <c r="F2" s="25" t="s">
        <v>12</v>
      </c>
      <c r="G2" s="21">
        <f>SUM(D2:D5)</f>
        <v>40</v>
      </c>
      <c r="H2" s="21">
        <v>40</v>
      </c>
      <c r="I2" s="30">
        <f>G2/H2</f>
        <v>1</v>
      </c>
      <c r="K2" s="26" t="s">
        <v>11</v>
      </c>
      <c r="L2" s="16">
        <f>SUM(D2:D9)</f>
        <v>80</v>
      </c>
      <c r="M2" s="16">
        <v>80</v>
      </c>
      <c r="N2" s="33">
        <f>L2/M2</f>
        <v>1</v>
      </c>
      <c r="P2" t="s">
        <v>14</v>
      </c>
      <c r="Q2">
        <f>SUM(D2:D38)</f>
        <v>287</v>
      </c>
    </row>
    <row r="3" spans="1:17" x14ac:dyDescent="0.35">
      <c r="A3" s="16"/>
      <c r="C3" s="7" t="s">
        <v>15</v>
      </c>
      <c r="D3" s="7">
        <v>10</v>
      </c>
      <c r="F3" s="27" t="s">
        <v>16</v>
      </c>
      <c r="G3" s="19">
        <f>SUM(D6:D9)</f>
        <v>40</v>
      </c>
      <c r="H3" s="19">
        <v>40</v>
      </c>
      <c r="I3" s="31">
        <f t="shared" ref="I3:I10" si="0">G3/H3</f>
        <v>1</v>
      </c>
      <c r="K3" s="27" t="s">
        <v>17</v>
      </c>
      <c r="L3" s="19">
        <f>SUM(D10:D17)</f>
        <v>60</v>
      </c>
      <c r="M3" s="19">
        <v>80</v>
      </c>
      <c r="N3" s="31">
        <f t="shared" ref="N3:N6" si="1">L3/M3</f>
        <v>0.75</v>
      </c>
      <c r="P3" t="s">
        <v>18</v>
      </c>
      <c r="Q3">
        <f>SUM(M2:M6)</f>
        <v>370</v>
      </c>
    </row>
    <row r="4" spans="1:17" x14ac:dyDescent="0.35">
      <c r="A4" s="16"/>
      <c r="C4" s="7" t="s">
        <v>19</v>
      </c>
      <c r="D4" s="7">
        <v>10</v>
      </c>
      <c r="F4" s="28" t="s">
        <v>20</v>
      </c>
      <c r="G4" s="20">
        <f>SUM(D10:D13)</f>
        <v>40</v>
      </c>
      <c r="H4" s="20">
        <v>40</v>
      </c>
      <c r="I4" s="32">
        <f t="shared" si="0"/>
        <v>1</v>
      </c>
      <c r="K4" s="28" t="s">
        <v>21</v>
      </c>
      <c r="L4" s="20">
        <f>SUM(D18:D28)</f>
        <v>77</v>
      </c>
      <c r="M4" s="20">
        <v>110</v>
      </c>
      <c r="N4" s="32">
        <f t="shared" si="1"/>
        <v>0.7</v>
      </c>
      <c r="P4" t="s">
        <v>7</v>
      </c>
      <c r="Q4" s="3">
        <f>Q2/Q3</f>
        <v>0.77567567567567564</v>
      </c>
    </row>
    <row r="5" spans="1:17" x14ac:dyDescent="0.35">
      <c r="A5" s="16"/>
      <c r="C5" s="7" t="s">
        <v>22</v>
      </c>
      <c r="D5" s="7">
        <v>10</v>
      </c>
      <c r="F5" s="26" t="s">
        <v>23</v>
      </c>
      <c r="G5" s="16">
        <f>SUM(D14:D17)</f>
        <v>20</v>
      </c>
      <c r="H5" s="16">
        <v>40</v>
      </c>
      <c r="I5" s="33">
        <f t="shared" si="0"/>
        <v>0.5</v>
      </c>
      <c r="K5" s="25" t="s">
        <v>24</v>
      </c>
      <c r="L5" s="21">
        <f>SUM(D29:D35)</f>
        <v>40</v>
      </c>
      <c r="M5" s="21">
        <v>70</v>
      </c>
      <c r="N5" s="30">
        <f t="shared" si="1"/>
        <v>0.5714285714285714</v>
      </c>
    </row>
    <row r="6" spans="1:17" x14ac:dyDescent="0.35">
      <c r="A6" s="16"/>
      <c r="B6" s="8" t="s">
        <v>16</v>
      </c>
      <c r="C6" s="8" t="s">
        <v>13</v>
      </c>
      <c r="D6" s="8">
        <v>10</v>
      </c>
      <c r="F6" s="25" t="s">
        <v>25</v>
      </c>
      <c r="G6" s="21">
        <f>SUM(D18:D21)</f>
        <v>40</v>
      </c>
      <c r="H6" s="21">
        <v>40</v>
      </c>
      <c r="I6" s="30">
        <f t="shared" si="0"/>
        <v>1</v>
      </c>
      <c r="K6" s="26" t="s">
        <v>26</v>
      </c>
      <c r="L6" s="16">
        <f>SUM(D36:D38)</f>
        <v>30</v>
      </c>
      <c r="M6" s="16">
        <v>30</v>
      </c>
      <c r="N6" s="33">
        <f t="shared" si="1"/>
        <v>1</v>
      </c>
    </row>
    <row r="7" spans="1:17" x14ac:dyDescent="0.35">
      <c r="A7" s="16"/>
      <c r="C7" s="8" t="s">
        <v>27</v>
      </c>
      <c r="D7" s="8">
        <v>10</v>
      </c>
      <c r="F7" s="27" t="s">
        <v>28</v>
      </c>
      <c r="G7" s="19">
        <f>SUM(D22:D25)</f>
        <v>17</v>
      </c>
      <c r="H7" s="19">
        <v>40</v>
      </c>
      <c r="I7" s="31">
        <f t="shared" si="0"/>
        <v>0.42499999999999999</v>
      </c>
    </row>
    <row r="8" spans="1:17" x14ac:dyDescent="0.35">
      <c r="A8" s="16"/>
      <c r="C8" s="8" t="s">
        <v>19</v>
      </c>
      <c r="D8" s="8">
        <v>10</v>
      </c>
      <c r="F8" s="28" t="s">
        <v>29</v>
      </c>
      <c r="G8" s="20">
        <f>SUM(D26:D28)</f>
        <v>20</v>
      </c>
      <c r="H8" s="20">
        <v>30</v>
      </c>
      <c r="I8" s="32">
        <f t="shared" si="0"/>
        <v>0.66666666666666663</v>
      </c>
    </row>
    <row r="9" spans="1:17" x14ac:dyDescent="0.35">
      <c r="A9" s="16"/>
      <c r="C9" s="8" t="s">
        <v>22</v>
      </c>
      <c r="D9" s="8">
        <v>10</v>
      </c>
      <c r="F9" s="26" t="s">
        <v>30</v>
      </c>
      <c r="G9" s="16">
        <f>SUM(D29:D32)</f>
        <v>40</v>
      </c>
      <c r="H9" s="16">
        <v>40</v>
      </c>
      <c r="I9" s="33">
        <f t="shared" si="0"/>
        <v>1</v>
      </c>
    </row>
    <row r="10" spans="1:17" ht="16" x14ac:dyDescent="0.4">
      <c r="A10" s="22" t="s">
        <v>31</v>
      </c>
      <c r="B10" s="9" t="s">
        <v>20</v>
      </c>
      <c r="C10" s="9" t="s">
        <v>13</v>
      </c>
      <c r="D10" s="9">
        <v>10</v>
      </c>
      <c r="F10" s="25" t="s">
        <v>32</v>
      </c>
      <c r="G10" s="21">
        <f>SUM(D33:D38)</f>
        <v>30</v>
      </c>
      <c r="H10" s="21">
        <v>60</v>
      </c>
      <c r="I10" s="30">
        <f t="shared" si="0"/>
        <v>0.5</v>
      </c>
    </row>
    <row r="11" spans="1:17" x14ac:dyDescent="0.35">
      <c r="A11" s="19"/>
      <c r="C11" s="9" t="s">
        <v>33</v>
      </c>
      <c r="D11" s="9">
        <v>10</v>
      </c>
      <c r="H11" s="1"/>
      <c r="I11" s="1"/>
    </row>
    <row r="12" spans="1:17" x14ac:dyDescent="0.35">
      <c r="A12" s="19"/>
      <c r="C12" s="9" t="s">
        <v>34</v>
      </c>
      <c r="D12" s="9">
        <v>10</v>
      </c>
    </row>
    <row r="13" spans="1:17" x14ac:dyDescent="0.35">
      <c r="A13" s="19"/>
      <c r="C13" s="9" t="s">
        <v>35</v>
      </c>
      <c r="D13" s="9">
        <v>10</v>
      </c>
    </row>
    <row r="14" spans="1:17" x14ac:dyDescent="0.35">
      <c r="A14" s="19"/>
      <c r="B14" s="10" t="s">
        <v>36</v>
      </c>
      <c r="C14" s="10" t="s">
        <v>13</v>
      </c>
      <c r="D14" s="10">
        <v>5</v>
      </c>
      <c r="H14" s="1"/>
    </row>
    <row r="15" spans="1:17" x14ac:dyDescent="0.35">
      <c r="A15" s="19"/>
      <c r="C15" s="10" t="s">
        <v>33</v>
      </c>
      <c r="D15" s="10">
        <v>5</v>
      </c>
    </row>
    <row r="16" spans="1:17" x14ac:dyDescent="0.35">
      <c r="A16" s="19"/>
      <c r="C16" s="10" t="s">
        <v>34</v>
      </c>
      <c r="D16" s="10">
        <v>5</v>
      </c>
    </row>
    <row r="17" spans="1:15" x14ac:dyDescent="0.35">
      <c r="A17" s="19"/>
      <c r="C17" s="10" t="s">
        <v>35</v>
      </c>
      <c r="D17" s="10">
        <v>5</v>
      </c>
    </row>
    <row r="18" spans="1:15" ht="16" x14ac:dyDescent="0.4">
      <c r="A18" s="23" t="s">
        <v>21</v>
      </c>
      <c r="B18" s="7" t="s">
        <v>25</v>
      </c>
      <c r="C18" s="7" t="s">
        <v>37</v>
      </c>
      <c r="D18" s="7">
        <v>10</v>
      </c>
      <c r="O18" s="3"/>
    </row>
    <row r="19" spans="1:15" x14ac:dyDescent="0.35">
      <c r="A19" s="20"/>
      <c r="C19" s="7" t="s">
        <v>38</v>
      </c>
      <c r="D19" s="7">
        <v>10</v>
      </c>
      <c r="G19" s="2"/>
    </row>
    <row r="20" spans="1:15" x14ac:dyDescent="0.35">
      <c r="A20" s="20"/>
      <c r="C20" s="7" t="s">
        <v>39</v>
      </c>
      <c r="D20" s="7">
        <v>10</v>
      </c>
    </row>
    <row r="21" spans="1:15" x14ac:dyDescent="0.35">
      <c r="A21" s="20"/>
      <c r="C21" s="7" t="s">
        <v>40</v>
      </c>
      <c r="D21" s="7">
        <v>10</v>
      </c>
      <c r="H21" s="2"/>
      <c r="I21" s="2"/>
    </row>
    <row r="22" spans="1:15" x14ac:dyDescent="0.35">
      <c r="A22" s="20"/>
      <c r="B22" s="11" t="s">
        <v>28</v>
      </c>
      <c r="C22" s="11" t="s">
        <v>41</v>
      </c>
      <c r="D22" s="11">
        <v>10</v>
      </c>
    </row>
    <row r="23" spans="1:15" x14ac:dyDescent="0.35">
      <c r="A23" s="20"/>
      <c r="C23" s="11" t="s">
        <v>42</v>
      </c>
      <c r="D23" s="11">
        <v>2</v>
      </c>
      <c r="G23" s="2"/>
      <c r="L23" s="1"/>
    </row>
    <row r="24" spans="1:15" x14ac:dyDescent="0.35">
      <c r="A24" s="20"/>
      <c r="C24" s="11" t="s">
        <v>43</v>
      </c>
      <c r="D24" s="11">
        <v>0</v>
      </c>
      <c r="O24" s="3"/>
    </row>
    <row r="25" spans="1:15" x14ac:dyDescent="0.35">
      <c r="A25" s="20"/>
      <c r="C25" s="11" t="s">
        <v>44</v>
      </c>
      <c r="D25" s="11">
        <v>5</v>
      </c>
      <c r="H25" s="2"/>
      <c r="I25" s="2"/>
    </row>
    <row r="26" spans="1:15" x14ac:dyDescent="0.35">
      <c r="A26" s="20"/>
      <c r="B26" s="12" t="s">
        <v>29</v>
      </c>
      <c r="C26" s="12" t="s">
        <v>45</v>
      </c>
      <c r="D26" s="12">
        <v>10</v>
      </c>
    </row>
    <row r="27" spans="1:15" x14ac:dyDescent="0.35">
      <c r="A27" s="20"/>
      <c r="C27" s="12" t="s">
        <v>46</v>
      </c>
      <c r="D27" s="12">
        <v>10</v>
      </c>
      <c r="G27" s="1"/>
    </row>
    <row r="28" spans="1:15" x14ac:dyDescent="0.35">
      <c r="A28" s="20"/>
      <c r="C28" s="12" t="s">
        <v>47</v>
      </c>
      <c r="D28" s="12">
        <v>0</v>
      </c>
    </row>
    <row r="29" spans="1:15" ht="16" x14ac:dyDescent="0.4">
      <c r="A29" s="24" t="s">
        <v>24</v>
      </c>
      <c r="B29" s="13" t="s">
        <v>30</v>
      </c>
      <c r="C29" s="13" t="s">
        <v>48</v>
      </c>
      <c r="D29" s="13">
        <v>10</v>
      </c>
      <c r="H29" s="1"/>
      <c r="I29" s="1"/>
    </row>
    <row r="30" spans="1:15" x14ac:dyDescent="0.35">
      <c r="A30" s="21"/>
      <c r="C30" s="13" t="s">
        <v>49</v>
      </c>
      <c r="D30" s="13">
        <v>10</v>
      </c>
    </row>
    <row r="31" spans="1:15" x14ac:dyDescent="0.35">
      <c r="A31" s="21"/>
      <c r="C31" s="13" t="s">
        <v>50</v>
      </c>
      <c r="D31" s="13">
        <v>10</v>
      </c>
      <c r="G31" s="1"/>
    </row>
    <row r="32" spans="1:15" x14ac:dyDescent="0.35">
      <c r="A32" s="21"/>
      <c r="C32" s="13" t="s">
        <v>51</v>
      </c>
      <c r="D32" s="13">
        <v>10</v>
      </c>
      <c r="L32" s="1"/>
    </row>
    <row r="33" spans="1:12" x14ac:dyDescent="0.35">
      <c r="A33" s="21"/>
      <c r="B33" s="14" t="s">
        <v>32</v>
      </c>
      <c r="C33" s="14" t="s">
        <v>52</v>
      </c>
      <c r="D33" s="14">
        <v>0</v>
      </c>
      <c r="H33" s="1"/>
      <c r="I33" s="1"/>
    </row>
    <row r="34" spans="1:12" x14ac:dyDescent="0.35">
      <c r="A34" s="21"/>
      <c r="C34" s="14" t="s">
        <v>53</v>
      </c>
      <c r="D34" s="14">
        <v>0</v>
      </c>
    </row>
    <row r="35" spans="1:12" x14ac:dyDescent="0.35">
      <c r="A35" s="21"/>
      <c r="C35" s="14" t="s">
        <v>54</v>
      </c>
      <c r="D35" s="14">
        <v>0</v>
      </c>
    </row>
    <row r="36" spans="1:12" x14ac:dyDescent="0.35">
      <c r="A36" s="17" t="s">
        <v>26</v>
      </c>
      <c r="B36" s="13" t="s">
        <v>55</v>
      </c>
      <c r="C36" s="13" t="s">
        <v>56</v>
      </c>
      <c r="D36" s="13">
        <v>10</v>
      </c>
    </row>
    <row r="37" spans="1:12" x14ac:dyDescent="0.35">
      <c r="A37" s="16"/>
      <c r="C37" s="13" t="s">
        <v>57</v>
      </c>
      <c r="D37" s="13">
        <v>10</v>
      </c>
    </row>
    <row r="38" spans="1:12" x14ac:dyDescent="0.35">
      <c r="A38" s="16"/>
      <c r="B38" s="15"/>
      <c r="C38" s="13" t="s">
        <v>58</v>
      </c>
      <c r="D38" s="13">
        <v>10</v>
      </c>
      <c r="L3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AB66A-CC91-47D9-B4CC-0BAE061A8107}">
  <dimension ref="A1:Q38"/>
  <sheetViews>
    <sheetView workbookViewId="0">
      <selection activeCell="D36" sqref="D36"/>
    </sheetView>
  </sheetViews>
  <sheetFormatPr defaultRowHeight="14.5" x14ac:dyDescent="0.35"/>
  <cols>
    <col min="1" max="1" width="21.26953125" customWidth="1"/>
    <col min="2" max="2" width="29.26953125" customWidth="1"/>
    <col min="3" max="3" width="39.81640625" customWidth="1"/>
    <col min="4" max="4" width="16.1796875" customWidth="1"/>
    <col min="6" max="6" width="21.453125" bestFit="1" customWidth="1"/>
    <col min="7" max="7" width="13.1796875" bestFit="1" customWidth="1"/>
    <col min="8" max="8" width="11" bestFit="1" customWidth="1"/>
    <col min="9" max="9" width="8.54296875" bestFit="1" customWidth="1"/>
    <col min="11" max="11" width="21.54296875" customWidth="1"/>
    <col min="12" max="12" width="14" bestFit="1" customWidth="1"/>
    <col min="13" max="13" width="11" bestFit="1" customWidth="1"/>
    <col min="14" max="14" width="8.54296875" bestFit="1" customWidth="1"/>
    <col min="15" max="15" width="10.54296875" customWidth="1"/>
    <col min="16" max="16" width="16" bestFit="1" customWidth="1"/>
    <col min="17" max="17" width="8.26953125" bestFit="1" customWidth="1"/>
  </cols>
  <sheetData>
    <row r="1" spans="1:17" x14ac:dyDescent="0.35">
      <c r="A1" s="4" t="s">
        <v>0</v>
      </c>
      <c r="B1" s="5" t="s">
        <v>1</v>
      </c>
      <c r="C1" s="5" t="s">
        <v>2</v>
      </c>
      <c r="D1" s="6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K1" s="29" t="s">
        <v>8</v>
      </c>
      <c r="L1" s="29" t="s">
        <v>5</v>
      </c>
      <c r="M1" s="29" t="s">
        <v>6</v>
      </c>
      <c r="N1" s="29" t="s">
        <v>7</v>
      </c>
      <c r="P1" t="s">
        <v>9</v>
      </c>
      <c r="Q1" t="s">
        <v>10</v>
      </c>
    </row>
    <row r="2" spans="1:17" ht="16" x14ac:dyDescent="0.4">
      <c r="A2" s="18" t="s">
        <v>11</v>
      </c>
      <c r="B2" s="7" t="s">
        <v>12</v>
      </c>
      <c r="C2" s="7" t="s">
        <v>13</v>
      </c>
      <c r="D2" s="7">
        <v>10</v>
      </c>
      <c r="F2" s="25" t="s">
        <v>12</v>
      </c>
      <c r="G2" s="21">
        <f>SUM(D2:D5)</f>
        <v>40</v>
      </c>
      <c r="H2" s="21">
        <v>40</v>
      </c>
      <c r="I2" s="30">
        <f>G2/H2</f>
        <v>1</v>
      </c>
      <c r="K2" s="26" t="s">
        <v>11</v>
      </c>
      <c r="L2" s="16">
        <f>SUM(D2:D9)</f>
        <v>80</v>
      </c>
      <c r="M2" s="16">
        <v>80</v>
      </c>
      <c r="N2" s="33">
        <f>L2/M2</f>
        <v>1</v>
      </c>
      <c r="P2" t="s">
        <v>14</v>
      </c>
      <c r="Q2">
        <f>SUM(D2:D38)</f>
        <v>370</v>
      </c>
    </row>
    <row r="3" spans="1:17" x14ac:dyDescent="0.35">
      <c r="A3" s="16"/>
      <c r="C3" s="7" t="s">
        <v>15</v>
      </c>
      <c r="D3" s="7">
        <v>10</v>
      </c>
      <c r="F3" s="27" t="s">
        <v>16</v>
      </c>
      <c r="G3" s="19">
        <f>SUM(D6:D9)</f>
        <v>40</v>
      </c>
      <c r="H3" s="19">
        <v>40</v>
      </c>
      <c r="I3" s="31">
        <f t="shared" ref="I3:I10" si="0">G3/H3</f>
        <v>1</v>
      </c>
      <c r="K3" s="27" t="s">
        <v>17</v>
      </c>
      <c r="L3" s="19">
        <f>SUM(D10:D17)</f>
        <v>80</v>
      </c>
      <c r="M3" s="19">
        <v>80</v>
      </c>
      <c r="N3" s="31">
        <f t="shared" ref="N3:N6" si="1">L3/M3</f>
        <v>1</v>
      </c>
      <c r="P3" t="s">
        <v>18</v>
      </c>
      <c r="Q3">
        <f>SUM(M2:M6)</f>
        <v>370</v>
      </c>
    </row>
    <row r="4" spans="1:17" x14ac:dyDescent="0.35">
      <c r="A4" s="16"/>
      <c r="C4" s="7" t="s">
        <v>19</v>
      </c>
      <c r="D4" s="7">
        <v>10</v>
      </c>
      <c r="F4" s="28" t="s">
        <v>20</v>
      </c>
      <c r="G4" s="20">
        <f>SUM(D10:D13)</f>
        <v>40</v>
      </c>
      <c r="H4" s="20">
        <v>40</v>
      </c>
      <c r="I4" s="32">
        <f t="shared" si="0"/>
        <v>1</v>
      </c>
      <c r="K4" s="28" t="s">
        <v>21</v>
      </c>
      <c r="L4" s="20">
        <f>SUM(D18:D28)</f>
        <v>110</v>
      </c>
      <c r="M4" s="20">
        <v>110</v>
      </c>
      <c r="N4" s="32">
        <f t="shared" si="1"/>
        <v>1</v>
      </c>
      <c r="P4" t="s">
        <v>7</v>
      </c>
      <c r="Q4" s="3">
        <f>Q2/Q3</f>
        <v>1</v>
      </c>
    </row>
    <row r="5" spans="1:17" x14ac:dyDescent="0.35">
      <c r="A5" s="16"/>
      <c r="C5" s="7" t="s">
        <v>22</v>
      </c>
      <c r="D5" s="7">
        <v>10</v>
      </c>
      <c r="F5" s="26" t="s">
        <v>23</v>
      </c>
      <c r="G5" s="16">
        <f>SUM(D14:D17)</f>
        <v>40</v>
      </c>
      <c r="H5" s="16">
        <v>40</v>
      </c>
      <c r="I5" s="33">
        <f t="shared" si="0"/>
        <v>1</v>
      </c>
      <c r="K5" s="25" t="s">
        <v>24</v>
      </c>
      <c r="L5" s="21">
        <f>SUM(D29:D35)</f>
        <v>70</v>
      </c>
      <c r="M5" s="21">
        <v>70</v>
      </c>
      <c r="N5" s="30">
        <f t="shared" si="1"/>
        <v>1</v>
      </c>
    </row>
    <row r="6" spans="1:17" x14ac:dyDescent="0.35">
      <c r="A6" s="16"/>
      <c r="B6" s="8" t="s">
        <v>16</v>
      </c>
      <c r="C6" s="8" t="s">
        <v>13</v>
      </c>
      <c r="D6" s="8">
        <v>10</v>
      </c>
      <c r="F6" s="25" t="s">
        <v>25</v>
      </c>
      <c r="G6" s="21">
        <f>SUM(D18:D21)</f>
        <v>40</v>
      </c>
      <c r="H6" s="21">
        <v>40</v>
      </c>
      <c r="I6" s="30">
        <f t="shared" si="0"/>
        <v>1</v>
      </c>
      <c r="K6" s="26" t="s">
        <v>26</v>
      </c>
      <c r="L6" s="16">
        <f>SUM(D36:D38)</f>
        <v>30</v>
      </c>
      <c r="M6" s="16">
        <v>30</v>
      </c>
      <c r="N6" s="33">
        <f t="shared" si="1"/>
        <v>1</v>
      </c>
    </row>
    <row r="7" spans="1:17" x14ac:dyDescent="0.35">
      <c r="A7" s="16"/>
      <c r="C7" s="8" t="s">
        <v>27</v>
      </c>
      <c r="D7" s="8">
        <v>10</v>
      </c>
      <c r="F7" s="27" t="s">
        <v>28</v>
      </c>
      <c r="G7" s="19">
        <f>SUM(D22:D25)</f>
        <v>40</v>
      </c>
      <c r="H7" s="19">
        <v>40</v>
      </c>
      <c r="I7" s="31">
        <f t="shared" si="0"/>
        <v>1</v>
      </c>
    </row>
    <row r="8" spans="1:17" x14ac:dyDescent="0.35">
      <c r="A8" s="16"/>
      <c r="C8" s="8" t="s">
        <v>19</v>
      </c>
      <c r="D8" s="8">
        <v>10</v>
      </c>
      <c r="F8" s="28" t="s">
        <v>29</v>
      </c>
      <c r="G8" s="20">
        <f>SUM(D26:D28)</f>
        <v>30</v>
      </c>
      <c r="H8" s="20">
        <v>30</v>
      </c>
      <c r="I8" s="32">
        <f t="shared" si="0"/>
        <v>1</v>
      </c>
    </row>
    <row r="9" spans="1:17" x14ac:dyDescent="0.35">
      <c r="A9" s="16"/>
      <c r="C9" s="8" t="s">
        <v>22</v>
      </c>
      <c r="D9" s="8">
        <v>10</v>
      </c>
      <c r="F9" s="26" t="s">
        <v>30</v>
      </c>
      <c r="G9" s="16">
        <f>SUM(D29:D32)</f>
        <v>40</v>
      </c>
      <c r="H9" s="16">
        <v>40</v>
      </c>
      <c r="I9" s="33">
        <f t="shared" si="0"/>
        <v>1</v>
      </c>
    </row>
    <row r="10" spans="1:17" ht="16" x14ac:dyDescent="0.4">
      <c r="A10" s="22" t="s">
        <v>31</v>
      </c>
      <c r="B10" s="9" t="s">
        <v>20</v>
      </c>
      <c r="C10" s="9" t="s">
        <v>13</v>
      </c>
      <c r="D10" s="9">
        <v>10</v>
      </c>
      <c r="F10" s="25" t="s">
        <v>32</v>
      </c>
      <c r="G10" s="21">
        <f>SUM(D33:D38)</f>
        <v>60</v>
      </c>
      <c r="H10" s="21">
        <v>60</v>
      </c>
      <c r="I10" s="30">
        <f t="shared" si="0"/>
        <v>1</v>
      </c>
    </row>
    <row r="11" spans="1:17" x14ac:dyDescent="0.35">
      <c r="A11" s="19"/>
      <c r="C11" s="9" t="s">
        <v>33</v>
      </c>
      <c r="D11" s="9">
        <v>10</v>
      </c>
      <c r="H11" s="1"/>
      <c r="I11" s="1"/>
    </row>
    <row r="12" spans="1:17" x14ac:dyDescent="0.35">
      <c r="A12" s="19"/>
      <c r="C12" s="9" t="s">
        <v>34</v>
      </c>
      <c r="D12" s="9">
        <v>10</v>
      </c>
    </row>
    <row r="13" spans="1:17" x14ac:dyDescent="0.35">
      <c r="A13" s="19"/>
      <c r="C13" s="9" t="s">
        <v>35</v>
      </c>
      <c r="D13" s="9">
        <v>10</v>
      </c>
    </row>
    <row r="14" spans="1:17" x14ac:dyDescent="0.35">
      <c r="A14" s="19"/>
      <c r="B14" s="10" t="s">
        <v>36</v>
      </c>
      <c r="C14" s="10" t="s">
        <v>13</v>
      </c>
      <c r="D14" s="10">
        <v>10</v>
      </c>
      <c r="H14" s="1"/>
    </row>
    <row r="15" spans="1:17" x14ac:dyDescent="0.35">
      <c r="A15" s="19"/>
      <c r="C15" s="10" t="s">
        <v>33</v>
      </c>
      <c r="D15" s="10">
        <v>10</v>
      </c>
    </row>
    <row r="16" spans="1:17" x14ac:dyDescent="0.35">
      <c r="A16" s="19"/>
      <c r="C16" s="10" t="s">
        <v>34</v>
      </c>
      <c r="D16" s="10">
        <v>10</v>
      </c>
    </row>
    <row r="17" spans="1:15" x14ac:dyDescent="0.35">
      <c r="A17" s="19"/>
      <c r="C17" s="10" t="s">
        <v>35</v>
      </c>
      <c r="D17" s="10">
        <v>10</v>
      </c>
    </row>
    <row r="18" spans="1:15" ht="16" x14ac:dyDescent="0.4">
      <c r="A18" s="23" t="s">
        <v>21</v>
      </c>
      <c r="B18" s="7" t="s">
        <v>25</v>
      </c>
      <c r="C18" s="7" t="s">
        <v>37</v>
      </c>
      <c r="D18" s="7">
        <v>10</v>
      </c>
      <c r="O18" s="3"/>
    </row>
    <row r="19" spans="1:15" x14ac:dyDescent="0.35">
      <c r="A19" s="20"/>
      <c r="C19" s="7" t="s">
        <v>38</v>
      </c>
      <c r="D19" s="7">
        <v>10</v>
      </c>
      <c r="G19" s="2"/>
    </row>
    <row r="20" spans="1:15" x14ac:dyDescent="0.35">
      <c r="A20" s="20"/>
      <c r="C20" s="7" t="s">
        <v>39</v>
      </c>
      <c r="D20" s="7">
        <v>10</v>
      </c>
    </row>
    <row r="21" spans="1:15" x14ac:dyDescent="0.35">
      <c r="A21" s="20"/>
      <c r="C21" s="7" t="s">
        <v>40</v>
      </c>
      <c r="D21" s="7">
        <v>10</v>
      </c>
      <c r="H21" s="2"/>
      <c r="I21" s="2"/>
    </row>
    <row r="22" spans="1:15" x14ac:dyDescent="0.35">
      <c r="A22" s="20"/>
      <c r="B22" s="11" t="s">
        <v>28</v>
      </c>
      <c r="C22" s="11" t="s">
        <v>41</v>
      </c>
      <c r="D22" s="11">
        <v>10</v>
      </c>
    </row>
    <row r="23" spans="1:15" x14ac:dyDescent="0.35">
      <c r="A23" s="20"/>
      <c r="C23" s="11" t="s">
        <v>42</v>
      </c>
      <c r="D23" s="11">
        <v>10</v>
      </c>
      <c r="G23" s="2"/>
      <c r="L23" s="1"/>
    </row>
    <row r="24" spans="1:15" x14ac:dyDescent="0.35">
      <c r="A24" s="20"/>
      <c r="C24" s="11" t="s">
        <v>43</v>
      </c>
      <c r="D24" s="11">
        <v>10</v>
      </c>
      <c r="O24" s="3"/>
    </row>
    <row r="25" spans="1:15" x14ac:dyDescent="0.35">
      <c r="A25" s="20"/>
      <c r="C25" s="11" t="s">
        <v>44</v>
      </c>
      <c r="D25" s="11">
        <v>10</v>
      </c>
      <c r="H25" s="2"/>
      <c r="I25" s="2"/>
    </row>
    <row r="26" spans="1:15" x14ac:dyDescent="0.35">
      <c r="A26" s="20"/>
      <c r="B26" s="12" t="s">
        <v>29</v>
      </c>
      <c r="C26" s="12" t="s">
        <v>45</v>
      </c>
      <c r="D26" s="12">
        <v>10</v>
      </c>
    </row>
    <row r="27" spans="1:15" x14ac:dyDescent="0.35">
      <c r="A27" s="20"/>
      <c r="C27" s="12" t="s">
        <v>46</v>
      </c>
      <c r="D27" s="12">
        <v>10</v>
      </c>
      <c r="G27" s="1"/>
    </row>
    <row r="28" spans="1:15" x14ac:dyDescent="0.35">
      <c r="A28" s="20"/>
      <c r="C28" s="12" t="s">
        <v>47</v>
      </c>
      <c r="D28" s="12">
        <v>10</v>
      </c>
    </row>
    <row r="29" spans="1:15" ht="16" x14ac:dyDescent="0.4">
      <c r="A29" s="24" t="s">
        <v>24</v>
      </c>
      <c r="B29" s="13" t="s">
        <v>30</v>
      </c>
      <c r="C29" s="13" t="s">
        <v>48</v>
      </c>
      <c r="D29" s="13">
        <v>10</v>
      </c>
      <c r="H29" s="1"/>
      <c r="I29" s="1"/>
    </row>
    <row r="30" spans="1:15" x14ac:dyDescent="0.35">
      <c r="A30" s="21"/>
      <c r="C30" s="13" t="s">
        <v>49</v>
      </c>
      <c r="D30" s="13">
        <v>10</v>
      </c>
    </row>
    <row r="31" spans="1:15" x14ac:dyDescent="0.35">
      <c r="A31" s="21"/>
      <c r="C31" s="13" t="s">
        <v>50</v>
      </c>
      <c r="D31" s="13">
        <v>10</v>
      </c>
      <c r="G31" s="1"/>
    </row>
    <row r="32" spans="1:15" x14ac:dyDescent="0.35">
      <c r="A32" s="21"/>
      <c r="C32" s="13" t="s">
        <v>51</v>
      </c>
      <c r="D32" s="13">
        <v>10</v>
      </c>
      <c r="L32" s="1"/>
    </row>
    <row r="33" spans="1:12" x14ac:dyDescent="0.35">
      <c r="A33" s="21"/>
      <c r="B33" s="14" t="s">
        <v>32</v>
      </c>
      <c r="C33" s="14" t="s">
        <v>52</v>
      </c>
      <c r="D33" s="14">
        <v>10</v>
      </c>
      <c r="H33" s="1"/>
      <c r="I33" s="1"/>
    </row>
    <row r="34" spans="1:12" x14ac:dyDescent="0.35">
      <c r="A34" s="21"/>
      <c r="C34" s="14" t="s">
        <v>53</v>
      </c>
      <c r="D34" s="14">
        <v>10</v>
      </c>
    </row>
    <row r="35" spans="1:12" x14ac:dyDescent="0.35">
      <c r="A35" s="21"/>
      <c r="C35" s="14" t="s">
        <v>54</v>
      </c>
      <c r="D35" s="14">
        <v>10</v>
      </c>
    </row>
    <row r="36" spans="1:12" x14ac:dyDescent="0.35">
      <c r="A36" s="17" t="s">
        <v>26</v>
      </c>
      <c r="B36" s="13" t="s">
        <v>55</v>
      </c>
      <c r="C36" s="13" t="s">
        <v>56</v>
      </c>
      <c r="D36" s="13">
        <v>10</v>
      </c>
    </row>
    <row r="37" spans="1:12" x14ac:dyDescent="0.35">
      <c r="A37" s="16"/>
      <c r="C37" s="13" t="s">
        <v>57</v>
      </c>
      <c r="D37" s="13">
        <v>10</v>
      </c>
    </row>
    <row r="38" spans="1:12" x14ac:dyDescent="0.35">
      <c r="A38" s="16"/>
      <c r="B38" s="15"/>
      <c r="C38" s="13" t="s">
        <v>58</v>
      </c>
      <c r="D38" s="13">
        <v>10</v>
      </c>
      <c r="L38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D735C5BF7AFC4D989D45817CA06378" ma:contentTypeVersion="2" ma:contentTypeDescription="Create a new document." ma:contentTypeScope="" ma:versionID="573706d935d7ec4b14c3f34726f92e0a">
  <xsd:schema xmlns:xsd="http://www.w3.org/2001/XMLSchema" xmlns:xs="http://www.w3.org/2001/XMLSchema" xmlns:p="http://schemas.microsoft.com/office/2006/metadata/properties" xmlns:ns3="85a75a15-56c3-4008-a550-9f21465c368b" targetNamespace="http://schemas.microsoft.com/office/2006/metadata/properties" ma:root="true" ma:fieldsID="b5800e9326a1ed7af8c7a0f228cb8b10" ns3:_="">
    <xsd:import namespace="85a75a15-56c3-4008-a550-9f21465c368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75a15-56c3-4008-a550-9f21465c368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a75a15-56c3-4008-a550-9f21465c368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7A011D-2591-4849-8DD9-94050C4018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a75a15-56c3-4008-a550-9f21465c36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6E7E02-93A9-46E6-A9EC-98E3D3B7F3B0}">
  <ds:schemaRefs>
    <ds:schemaRef ds:uri="http://schemas.microsoft.com/office/2006/metadata/properties"/>
    <ds:schemaRef ds:uri="http://schemas.microsoft.com/office/infopath/2007/PartnerControls"/>
    <ds:schemaRef ds:uri="85a75a15-56c3-4008-a550-9f21465c368b"/>
  </ds:schemaRefs>
</ds:datastoreItem>
</file>

<file path=customXml/itemProps3.xml><?xml version="1.0" encoding="utf-8"?>
<ds:datastoreItem xmlns:ds="http://schemas.openxmlformats.org/officeDocument/2006/customXml" ds:itemID="{1830B015-E622-4D82-B618-AF8DA6AAE0D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Analysis</vt:lpstr>
      <vt:lpstr>Projected Analysis Month 1</vt:lpstr>
      <vt:lpstr>Projected Analysis Month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Zachary Cheney</dc:creator>
  <cp:keywords/>
  <dc:description/>
  <cp:lastModifiedBy>Zachary Cheney</cp:lastModifiedBy>
  <cp:revision/>
  <dcterms:created xsi:type="dcterms:W3CDTF">2025-01-31T01:29:59Z</dcterms:created>
  <dcterms:modified xsi:type="dcterms:W3CDTF">2025-02-12T09:22:24Z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0x010100F5D735C5BF7AFC4D989D45817CA06378</vt:lpwstr>
  </property>
</Properties>
</file>